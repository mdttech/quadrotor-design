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E630PROJECT\"/>
    </mc:Choice>
  </mc:AlternateContent>
  <xr:revisionPtr revIDLastSave="0" documentId="13_ncr:1_{3899E7C6-EBCB-4F45-BB54-C2D4900D3B8C}" xr6:coauthVersionLast="47" xr6:coauthVersionMax="47" xr10:uidLastSave="{00000000-0000-0000-0000-000000000000}"/>
  <bookViews>
    <workbookView xWindow="-108" yWindow="-108" windowWidth="23256" windowHeight="12456" xr2:uid="{5A97778F-5EBD-4477-9450-2B65F9BC8829}"/>
  </bookViews>
  <sheets>
    <sheet name="RPM_Summary_Averaged" sheetId="1" r:id="rId1"/>
  </sheets>
  <calcPr calcId="191029"/>
</workbook>
</file>

<file path=xl/calcChain.xml><?xml version="1.0" encoding="utf-8"?>
<calcChain xmlns="http://schemas.openxmlformats.org/spreadsheetml/2006/main">
  <c r="B17" i="1" l="1"/>
  <c r="B18" i="1"/>
  <c r="B19" i="1"/>
  <c r="B20" i="1"/>
  <c r="F20" i="1" s="1"/>
  <c r="B21" i="1"/>
  <c r="F21" i="1" s="1"/>
  <c r="B22" i="1"/>
  <c r="B23" i="1"/>
  <c r="F23" i="1" s="1"/>
  <c r="B16" i="1"/>
  <c r="F16" i="1" s="1"/>
  <c r="C16" i="1"/>
  <c r="G17" i="1"/>
  <c r="G18" i="1"/>
  <c r="G19" i="1"/>
  <c r="G20" i="1"/>
  <c r="G21" i="1"/>
  <c r="G22" i="1"/>
  <c r="G23" i="1"/>
  <c r="G16" i="1"/>
  <c r="H16" i="1"/>
  <c r="H17" i="1"/>
  <c r="H18" i="1"/>
  <c r="H19" i="1"/>
  <c r="H20" i="1"/>
  <c r="H21" i="1"/>
  <c r="H23" i="1"/>
  <c r="C17" i="1"/>
  <c r="C18" i="1"/>
  <c r="C19" i="1"/>
  <c r="C20" i="1"/>
  <c r="C21" i="1"/>
  <c r="C22" i="1"/>
  <c r="C23" i="1"/>
  <c r="G15" i="1"/>
  <c r="F17" i="1"/>
  <c r="F18" i="1"/>
  <c r="F19" i="1"/>
  <c r="E16" i="1"/>
  <c r="E17" i="1"/>
  <c r="E18" i="1"/>
  <c r="E19" i="1"/>
  <c r="E20" i="1"/>
  <c r="E21" i="1"/>
  <c r="E22" i="1"/>
  <c r="E23" i="1"/>
  <c r="E15" i="1"/>
  <c r="D16" i="1"/>
  <c r="D17" i="1"/>
  <c r="D18" i="1"/>
  <c r="D19" i="1"/>
  <c r="D20" i="1"/>
  <c r="D21" i="1"/>
  <c r="D22" i="1"/>
  <c r="H22" i="1" s="1"/>
  <c r="D23" i="1"/>
  <c r="D15" i="1"/>
  <c r="B15" i="1"/>
  <c r="A16" i="1"/>
  <c r="A17" i="1"/>
  <c r="A18" i="1"/>
  <c r="A19" i="1"/>
  <c r="A20" i="1"/>
  <c r="A21" i="1"/>
  <c r="A22" i="1"/>
  <c r="A23" i="1"/>
  <c r="A15" i="1"/>
  <c r="F22" i="1" l="1"/>
</calcChain>
</file>

<file path=xl/sharedStrings.xml><?xml version="1.0" encoding="utf-8"?>
<sst xmlns="http://schemas.openxmlformats.org/spreadsheetml/2006/main" count="32" uniqueCount="32">
  <si>
    <t>RPM</t>
  </si>
  <si>
    <t>Time (s)</t>
  </si>
  <si>
    <t>ESC signal (Âµs)</t>
  </si>
  <si>
    <t>Servo 1 (Âµs)</t>
  </si>
  <si>
    <t>Servo 2 (Âµs)</t>
  </si>
  <si>
    <t>Servo 3 (Âµs)</t>
  </si>
  <si>
    <t>AccX (g)</t>
  </si>
  <si>
    <t>AccY (g)</t>
  </si>
  <si>
    <t>AccZ (g)</t>
  </si>
  <si>
    <t>Torque (NÂ·m)</t>
  </si>
  <si>
    <t>Thrust (gf)</t>
  </si>
  <si>
    <t>Voltage (V)</t>
  </si>
  <si>
    <t>Current (A)</t>
  </si>
  <si>
    <t>Motor Electrical Speed (RPM)</t>
  </si>
  <si>
    <t>Motor Optical Speed (RPM)</t>
  </si>
  <si>
    <t>Electrical Power (W)</t>
  </si>
  <si>
    <t>Mechanical Power (W)</t>
  </si>
  <si>
    <t>Motor Efficiency (%)</t>
  </si>
  <si>
    <t>Propeller Mech. Efficiency (gf/W)</t>
  </si>
  <si>
    <t>Overall Efficiency (gf/W)</t>
  </si>
  <si>
    <t>Vibration (g)</t>
  </si>
  <si>
    <t>App message</t>
  </si>
  <si>
    <t>Unnamed: 21</t>
  </si>
  <si>
    <t>Disc Area = 0.024m2</t>
  </si>
  <si>
    <t>Thrust (N)</t>
  </si>
  <si>
    <t>Ideal Power</t>
  </si>
  <si>
    <t>Actual Electrical Power:</t>
  </si>
  <si>
    <t>Radians/second</t>
  </si>
  <si>
    <t>Figure Of Merit</t>
  </si>
  <si>
    <t xml:space="preserve">CT </t>
  </si>
  <si>
    <t>System Efficiency</t>
  </si>
  <si>
    <t>Actual Mech.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</si>
</sst>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RPM_Summary_Averaged!$A$2:$A$10</c:f>
              <c:numCache>
                <c:formatCode>General</c:formatCode>
                <c:ptCount val="9"/>
                <c:pt idx="0">
                  <c:v>0</c:v>
                </c:pt>
                <c:pt idx="1">
                  <c:v>2130</c:v>
                </c:pt>
                <c:pt idx="2">
                  <c:v>5740</c:v>
                </c:pt>
                <c:pt idx="3">
                  <c:v>8000</c:v>
                </c:pt>
                <c:pt idx="4">
                  <c:v>9600</c:v>
                </c:pt>
                <c:pt idx="5">
                  <c:v>10750</c:v>
                </c:pt>
                <c:pt idx="6">
                  <c:v>11850</c:v>
                </c:pt>
                <c:pt idx="7">
                  <c:v>13270</c:v>
                </c:pt>
                <c:pt idx="8">
                  <c:v>14100</c:v>
                </c:pt>
              </c:numCache>
            </c:numRef>
          </c:xVal>
          <c:yVal>
            <c:numRef>
              <c:f>RPM_Summary_Averaged!$K$2:$K$10</c:f>
              <c:numCache>
                <c:formatCode>General</c:formatCode>
                <c:ptCount val="9"/>
                <c:pt idx="0">
                  <c:v>0</c:v>
                </c:pt>
                <c:pt idx="1">
                  <c:v>15.7291850085928</c:v>
                </c:pt>
                <c:pt idx="2">
                  <c:v>128.85071473100001</c:v>
                </c:pt>
                <c:pt idx="3">
                  <c:v>273.21368121439099</c:v>
                </c:pt>
                <c:pt idx="4">
                  <c:v>403.476048435672</c:v>
                </c:pt>
                <c:pt idx="5">
                  <c:v>523.96879993707796</c:v>
                </c:pt>
                <c:pt idx="6">
                  <c:v>648.63024928489995</c:v>
                </c:pt>
                <c:pt idx="7">
                  <c:v>784.00065364021305</c:v>
                </c:pt>
                <c:pt idx="8">
                  <c:v>955.50607875954495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B-4783-B132-53DFFCD22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067056"/>
        <c:axId val="1943061776"/>
      </c:scatterChart>
      <c:valAx>
        <c:axId val="19430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061776"/>
        <c:crosses val="autoZero"/>
        <c:crossBetween val="midCat"/>
      </c:valAx>
      <c:valAx>
        <c:axId val="194306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06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10</xdr:row>
      <xdr:rowOff>133350</xdr:rowOff>
    </xdr:from>
    <xdr:to>
      <xdr:col>15</xdr:col>
      <xdr:colOff>883920</xdr:colOff>
      <xdr:row>25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CAD117-3A82-51F9-A9D2-6E4C37F55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50A3-2A5F-407D-8CCC-B46EC6D7398A}">
  <dimension ref="A1:W23"/>
  <sheetViews>
    <sheetView tabSelected="1" workbookViewId="0">
      <selection activeCell="A10" sqref="A10"/>
    </sheetView>
  </sheetViews>
  <sheetFormatPr defaultRowHeight="14.4" x14ac:dyDescent="0.3"/>
  <cols>
    <col min="3" max="3" width="20.44140625" bestFit="1" customWidth="1"/>
    <col min="4" max="4" width="17.77734375" bestFit="1" customWidth="1"/>
    <col min="6" max="6" width="13.33203125" bestFit="1" customWidth="1"/>
    <col min="8" max="8" width="15.21875" bestFit="1" customWidth="1"/>
    <col min="16" max="16" width="17.6640625" bestFit="1" customWidth="1"/>
    <col min="17" max="17" width="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0</v>
      </c>
      <c r="B2">
        <v>0</v>
      </c>
      <c r="C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3" x14ac:dyDescent="0.3">
      <c r="A3">
        <v>2130</v>
      </c>
      <c r="B3">
        <v>17.625184277108399</v>
      </c>
      <c r="C3">
        <v>1100</v>
      </c>
      <c r="G3">
        <v>-3.1544145331325303E-2</v>
      </c>
      <c r="H3">
        <v>1.10480986445783E-2</v>
      </c>
      <c r="I3">
        <v>-0.98859304405120396</v>
      </c>
      <c r="J3">
        <v>-3.2751178073743702E-3</v>
      </c>
      <c r="K3">
        <v>15.7291850085928</v>
      </c>
      <c r="L3">
        <v>16.499614566205398</v>
      </c>
      <c r="M3">
        <v>0.16639006265203399</v>
      </c>
      <c r="N3">
        <v>0</v>
      </c>
      <c r="O3">
        <v>0</v>
      </c>
      <c r="P3">
        <v>2.7453864183471199</v>
      </c>
      <c r="Q3">
        <v>0</v>
      </c>
      <c r="R3">
        <v>0</v>
      </c>
      <c r="S3">
        <v>0</v>
      </c>
      <c r="T3">
        <v>0</v>
      </c>
      <c r="U3">
        <v>0.23892836972891501</v>
      </c>
    </row>
    <row r="4" spans="1:23" x14ac:dyDescent="0.3">
      <c r="A4">
        <v>5740</v>
      </c>
      <c r="B4">
        <v>35.654215000000001</v>
      </c>
      <c r="C4">
        <v>1150</v>
      </c>
      <c r="G4">
        <v>-5.0260416666666599E-2</v>
      </c>
      <c r="H4">
        <v>1.7500000000000002E-2</v>
      </c>
      <c r="I4">
        <v>-0.99003906249999996</v>
      </c>
      <c r="J4">
        <v>-2.2266069825762801E-2</v>
      </c>
      <c r="K4">
        <v>128.85071473100001</v>
      </c>
      <c r="L4">
        <v>16.4469750467936</v>
      </c>
      <c r="M4">
        <v>1.38855023543039</v>
      </c>
      <c r="N4">
        <v>0</v>
      </c>
      <c r="O4">
        <v>0</v>
      </c>
      <c r="P4">
        <v>22.837468757727599</v>
      </c>
      <c r="Q4">
        <v>0</v>
      </c>
      <c r="R4">
        <v>0</v>
      </c>
      <c r="S4">
        <v>0</v>
      </c>
      <c r="T4">
        <v>0</v>
      </c>
      <c r="U4">
        <v>2.3405208333333301</v>
      </c>
    </row>
    <row r="5" spans="1:23" x14ac:dyDescent="0.3">
      <c r="A5">
        <v>8000</v>
      </c>
      <c r="B5">
        <v>49.454601045197698</v>
      </c>
      <c r="C5">
        <v>1200</v>
      </c>
      <c r="G5">
        <v>-3.7352136299434999E-2</v>
      </c>
      <c r="H5">
        <v>1.10566737288135E-2</v>
      </c>
      <c r="I5">
        <v>-0.98877780720338904</v>
      </c>
      <c r="J5">
        <v>-4.1106837503421E-2</v>
      </c>
      <c r="K5">
        <v>273.21368121439099</v>
      </c>
      <c r="L5">
        <v>16.3638341979118</v>
      </c>
      <c r="M5">
        <v>3.26531909953402</v>
      </c>
      <c r="N5">
        <v>0</v>
      </c>
      <c r="O5">
        <v>0</v>
      </c>
      <c r="P5">
        <v>53.433217390779298</v>
      </c>
      <c r="Q5">
        <v>0</v>
      </c>
      <c r="R5">
        <v>0</v>
      </c>
      <c r="S5">
        <v>0</v>
      </c>
      <c r="T5">
        <v>0</v>
      </c>
      <c r="U5">
        <v>1.4749404131355901</v>
      </c>
    </row>
    <row r="6" spans="1:23" x14ac:dyDescent="0.3">
      <c r="A6">
        <v>9600</v>
      </c>
      <c r="B6">
        <v>61.779879208860699</v>
      </c>
      <c r="C6">
        <v>1250</v>
      </c>
      <c r="G6">
        <v>-3.5477650316455597E-2</v>
      </c>
      <c r="H6">
        <v>1.20895965189873E-2</v>
      </c>
      <c r="I6">
        <v>-0.985265031645569</v>
      </c>
      <c r="J6">
        <v>-5.8817587515075098E-2</v>
      </c>
      <c r="K6">
        <v>403.476048435672</v>
      </c>
      <c r="L6">
        <v>16.2648288509513</v>
      </c>
      <c r="M6">
        <v>5.3716538254218698</v>
      </c>
      <c r="N6">
        <v>0</v>
      </c>
      <c r="O6">
        <v>0</v>
      </c>
      <c r="P6">
        <v>87.3689484290244</v>
      </c>
      <c r="Q6">
        <v>0</v>
      </c>
      <c r="R6">
        <v>0</v>
      </c>
      <c r="S6">
        <v>0</v>
      </c>
      <c r="T6">
        <v>0</v>
      </c>
      <c r="U6">
        <v>0.892639932753164</v>
      </c>
    </row>
    <row r="7" spans="1:23" x14ac:dyDescent="0.3">
      <c r="A7">
        <v>10750</v>
      </c>
      <c r="B7">
        <v>74.700974915254207</v>
      </c>
      <c r="C7">
        <v>1300</v>
      </c>
      <c r="G7">
        <v>-3.9823887711864403E-2</v>
      </c>
      <c r="H7">
        <v>1.50512005649717E-2</v>
      </c>
      <c r="I7">
        <v>-0.98382326977401102</v>
      </c>
      <c r="J7">
        <v>-7.4470242673762205E-2</v>
      </c>
      <c r="K7">
        <v>523.96879993707796</v>
      </c>
      <c r="L7">
        <v>16.157292759351101</v>
      </c>
      <c r="M7">
        <v>7.4640820309267202</v>
      </c>
      <c r="N7">
        <v>0</v>
      </c>
      <c r="O7">
        <v>0</v>
      </c>
      <c r="P7">
        <v>120.59923309603001</v>
      </c>
      <c r="Q7">
        <v>0</v>
      </c>
      <c r="R7">
        <v>0</v>
      </c>
      <c r="S7">
        <v>0</v>
      </c>
      <c r="T7">
        <v>0</v>
      </c>
      <c r="U7">
        <v>0.76817399364406702</v>
      </c>
    </row>
    <row r="8" spans="1:23" x14ac:dyDescent="0.3">
      <c r="A8">
        <v>11850</v>
      </c>
      <c r="B8">
        <v>83.385764974619207</v>
      </c>
      <c r="C8">
        <v>1350</v>
      </c>
      <c r="G8">
        <v>-3.0189165609137002E-2</v>
      </c>
      <c r="H8">
        <v>-5.2645145939086199E-3</v>
      </c>
      <c r="I8">
        <v>-0.97279505076142103</v>
      </c>
      <c r="J8">
        <v>-9.10916487404725E-2</v>
      </c>
      <c r="K8">
        <v>648.63024928489995</v>
      </c>
      <c r="L8">
        <v>16.0495901737116</v>
      </c>
      <c r="M8">
        <v>9.5875073592674909</v>
      </c>
      <c r="N8">
        <v>0</v>
      </c>
      <c r="O8">
        <v>0</v>
      </c>
      <c r="P8">
        <v>153.875477808716</v>
      </c>
      <c r="Q8">
        <v>0</v>
      </c>
      <c r="R8">
        <v>0</v>
      </c>
      <c r="S8">
        <v>0</v>
      </c>
      <c r="T8">
        <v>0</v>
      </c>
      <c r="U8">
        <v>0.37408788071065902</v>
      </c>
    </row>
    <row r="9" spans="1:23" x14ac:dyDescent="0.3">
      <c r="A9">
        <v>13270</v>
      </c>
      <c r="B9">
        <v>50.527021561085903</v>
      </c>
      <c r="C9">
        <v>1400</v>
      </c>
      <c r="G9">
        <v>-4.8872313348416199E-2</v>
      </c>
      <c r="H9">
        <v>1.9584276018099499E-2</v>
      </c>
      <c r="I9">
        <v>-0.78830246040723895</v>
      </c>
      <c r="J9">
        <v>-0.10619925276113</v>
      </c>
      <c r="K9">
        <v>784.00065364021305</v>
      </c>
      <c r="L9">
        <v>15.8953884780676</v>
      </c>
      <c r="M9">
        <v>11.748755968534001</v>
      </c>
      <c r="N9">
        <v>0</v>
      </c>
      <c r="O9">
        <v>0</v>
      </c>
      <c r="P9">
        <v>186.750946158331</v>
      </c>
      <c r="Q9">
        <v>0</v>
      </c>
      <c r="R9">
        <v>0</v>
      </c>
      <c r="S9">
        <v>0</v>
      </c>
      <c r="T9">
        <v>0</v>
      </c>
      <c r="U9">
        <v>0.78094951923076905</v>
      </c>
    </row>
    <row r="10" spans="1:23" x14ac:dyDescent="0.3">
      <c r="A10">
        <v>14100</v>
      </c>
      <c r="B10">
        <v>66.691713138528002</v>
      </c>
      <c r="C10">
        <v>1450</v>
      </c>
      <c r="G10">
        <v>-3.43361066017316E-2</v>
      </c>
      <c r="H10">
        <v>1.1820211038961E-2</v>
      </c>
      <c r="I10">
        <v>-0.98905066287878696</v>
      </c>
      <c r="J10">
        <v>-0.13018988515594099</v>
      </c>
      <c r="K10">
        <v>955.50607875954495</v>
      </c>
      <c r="L10">
        <v>15.6864714973416</v>
      </c>
      <c r="M10">
        <v>16.642475912581201</v>
      </c>
      <c r="N10">
        <v>0</v>
      </c>
      <c r="O10">
        <v>0</v>
      </c>
      <c r="P10">
        <v>261.062311507007</v>
      </c>
      <c r="Q10">
        <v>0</v>
      </c>
      <c r="R10">
        <v>0</v>
      </c>
      <c r="S10">
        <v>0</v>
      </c>
      <c r="T10">
        <v>0</v>
      </c>
      <c r="U10">
        <v>1.9477982954545401</v>
      </c>
    </row>
    <row r="13" spans="1:23" x14ac:dyDescent="0.3">
      <c r="B13" t="s">
        <v>23</v>
      </c>
    </row>
    <row r="14" spans="1:23" x14ac:dyDescent="0.3">
      <c r="A14" t="s">
        <v>24</v>
      </c>
      <c r="B14" t="s">
        <v>25</v>
      </c>
      <c r="C14" t="s">
        <v>26</v>
      </c>
      <c r="D14" t="s">
        <v>31</v>
      </c>
      <c r="E14" t="s">
        <v>27</v>
      </c>
      <c r="F14" t="s">
        <v>28</v>
      </c>
      <c r="G14" t="s">
        <v>29</v>
      </c>
      <c r="H14" t="s">
        <v>30</v>
      </c>
    </row>
    <row r="15" spans="1:23" x14ac:dyDescent="0.3">
      <c r="A15">
        <f>(K2/1000)*9.81</f>
        <v>0</v>
      </c>
      <c r="B15">
        <f>SQRT(A15^3/(2*1.225*0.024))</f>
        <v>0</v>
      </c>
      <c r="C15">
        <v>0</v>
      </c>
      <c r="D15">
        <f>(-J2)*(A2*(3.14/30))</f>
        <v>0</v>
      </c>
      <c r="E15">
        <f>(A2*(3.14/30))</f>
        <v>0</v>
      </c>
      <c r="F15">
        <v>0</v>
      </c>
      <c r="G15">
        <f>0</f>
        <v>0</v>
      </c>
      <c r="H15">
        <v>0</v>
      </c>
    </row>
    <row r="16" spans="1:23" x14ac:dyDescent="0.3">
      <c r="A16">
        <f t="shared" ref="A16:A25" si="0">(K3/1000)*9.81</f>
        <v>0.15430330493429537</v>
      </c>
      <c r="B16">
        <f>SQRT(A16^3/(2*1.225*0.02483))</f>
        <v>0.24574881941363641</v>
      </c>
      <c r="C16">
        <f>L3*M3</f>
        <v>2.7453719014053286</v>
      </c>
      <c r="D16">
        <f t="shared" ref="D16:D23" si="1">(-J3)*(A3*(3.14/30))</f>
        <v>0.73015476397604206</v>
      </c>
      <c r="E16">
        <f t="shared" ref="E16:E23" si="2">(A3*(3.14/30))</f>
        <v>222.94</v>
      </c>
      <c r="F16">
        <f>B16/D16</f>
        <v>0.33657086351860049</v>
      </c>
      <c r="G16">
        <f>A16/(1.225*0.02483*(E16*0.0889)^2)</f>
        <v>1.2914657833826657E-2</v>
      </c>
      <c r="H16">
        <f>D16/C16</f>
        <v>0.2659584166364794</v>
      </c>
    </row>
    <row r="17" spans="1:8" x14ac:dyDescent="0.3">
      <c r="A17">
        <f t="shared" si="0"/>
        <v>1.2640255115111103</v>
      </c>
      <c r="B17">
        <f t="shared" ref="B17:B23" si="3">SQRT(A17^3/(2*1.225*0.02483))</f>
        <v>5.761855426366302</v>
      </c>
      <c r="C17">
        <f t="shared" ref="C17:C23" si="4">L4*M4</f>
        <v>22.837451073343004</v>
      </c>
      <c r="D17">
        <f t="shared" si="1"/>
        <v>13.377157870387283</v>
      </c>
      <c r="E17">
        <f t="shared" si="2"/>
        <v>600.78666666666675</v>
      </c>
      <c r="F17">
        <f t="shared" ref="F17:F23" si="5">B17/D17</f>
        <v>0.43072343783287431</v>
      </c>
      <c r="G17">
        <f t="shared" ref="G17:G23" si="6">A17/(1.225*0.02483*(E17*0.0889)^2)</f>
        <v>1.4567966617204499E-2</v>
      </c>
      <c r="H17">
        <f t="shared" ref="H17:H23" si="7">D17/C17</f>
        <v>0.58575529411869254</v>
      </c>
    </row>
    <row r="18" spans="1:8" x14ac:dyDescent="0.3">
      <c r="A18">
        <f t="shared" si="0"/>
        <v>2.6802262127131757</v>
      </c>
      <c r="B18">
        <f t="shared" si="3"/>
        <v>17.790402482116974</v>
      </c>
      <c r="C18">
        <f t="shared" si="4"/>
        <v>53.433140348049363</v>
      </c>
      <c r="D18">
        <f t="shared" si="1"/>
        <v>34.420125269531184</v>
      </c>
      <c r="E18">
        <f t="shared" si="2"/>
        <v>837.33333333333337</v>
      </c>
      <c r="F18">
        <f t="shared" si="5"/>
        <v>0.51686048039648191</v>
      </c>
      <c r="G18">
        <f t="shared" si="6"/>
        <v>1.5902242042085193E-2</v>
      </c>
      <c r="H18">
        <f t="shared" si="7"/>
        <v>0.64417185749008155</v>
      </c>
    </row>
    <row r="19" spans="1:8" x14ac:dyDescent="0.3">
      <c r="A19">
        <f t="shared" si="0"/>
        <v>3.9581000351539424</v>
      </c>
      <c r="B19">
        <f t="shared" si="3"/>
        <v>31.927046684018556</v>
      </c>
      <c r="C19">
        <f t="shared" si="4"/>
        <v>87.369030117044545</v>
      </c>
      <c r="D19">
        <f t="shared" si="1"/>
        <v>59.09991193514746</v>
      </c>
      <c r="E19">
        <f t="shared" si="2"/>
        <v>1004.8000000000001</v>
      </c>
      <c r="F19">
        <f t="shared" si="5"/>
        <v>0.54022156105838692</v>
      </c>
      <c r="G19">
        <f t="shared" si="6"/>
        <v>1.6308393549655999E-2</v>
      </c>
      <c r="H19">
        <f t="shared" si="7"/>
        <v>0.676440059549406</v>
      </c>
    </row>
    <row r="20" spans="1:8" x14ac:dyDescent="0.3">
      <c r="A20">
        <f t="shared" si="0"/>
        <v>5.1401339273827356</v>
      </c>
      <c r="B20">
        <f t="shared" si="3"/>
        <v>47.248742036098669</v>
      </c>
      <c r="C20">
        <f t="shared" si="4"/>
        <v>120.59935855349495</v>
      </c>
      <c r="D20">
        <f t="shared" si="1"/>
        <v>83.79143471509478</v>
      </c>
      <c r="E20">
        <f t="shared" si="2"/>
        <v>1125.1666666666667</v>
      </c>
      <c r="F20">
        <f t="shared" si="5"/>
        <v>0.56388510587928797</v>
      </c>
      <c r="G20">
        <f t="shared" si="6"/>
        <v>1.6889795428940504E-2</v>
      </c>
      <c r="H20">
        <f t="shared" si="7"/>
        <v>0.69479171133341422</v>
      </c>
    </row>
    <row r="21" spans="1:8" x14ac:dyDescent="0.3">
      <c r="A21">
        <f t="shared" si="0"/>
        <v>6.3630627454848696</v>
      </c>
      <c r="B21">
        <f t="shared" si="3"/>
        <v>65.077057337090849</v>
      </c>
      <c r="C21">
        <f t="shared" si="4"/>
        <v>153.87556390368718</v>
      </c>
      <c r="D21">
        <f t="shared" si="1"/>
        <v>112.98097193280803</v>
      </c>
      <c r="E21">
        <f t="shared" si="2"/>
        <v>1240.3</v>
      </c>
      <c r="F21">
        <f t="shared" si="5"/>
        <v>0.57600015492691492</v>
      </c>
      <c r="G21">
        <f t="shared" si="6"/>
        <v>1.7206652510748498E-2</v>
      </c>
      <c r="H21">
        <f t="shared" si="7"/>
        <v>0.73423595707193878</v>
      </c>
    </row>
    <row r="22" spans="1:8" x14ac:dyDescent="0.3">
      <c r="A22">
        <f t="shared" si="0"/>
        <v>7.6910464122104907</v>
      </c>
      <c r="B22">
        <f t="shared" si="3"/>
        <v>86.478220876217506</v>
      </c>
      <c r="C22">
        <f t="shared" si="4"/>
        <v>186.75104025386329</v>
      </c>
      <c r="D22">
        <f t="shared" si="1"/>
        <v>147.5029741400071</v>
      </c>
      <c r="E22">
        <f t="shared" si="2"/>
        <v>1388.9266666666667</v>
      </c>
      <c r="F22">
        <f t="shared" si="5"/>
        <v>0.58628120131417805</v>
      </c>
      <c r="G22">
        <f t="shared" si="6"/>
        <v>1.658480881709128E-2</v>
      </c>
      <c r="H22">
        <f t="shared" si="7"/>
        <v>0.78983749669879399</v>
      </c>
    </row>
    <row r="23" spans="1:8" x14ac:dyDescent="0.3">
      <c r="A23">
        <f t="shared" si="0"/>
        <v>9.3735146326311369</v>
      </c>
      <c r="B23">
        <f t="shared" si="3"/>
        <v>116.35426056844703</v>
      </c>
      <c r="C23">
        <f t="shared" si="4"/>
        <v>261.06172404789913</v>
      </c>
      <c r="D23">
        <f t="shared" si="1"/>
        <v>192.13423251313773</v>
      </c>
      <c r="E23">
        <f t="shared" si="2"/>
        <v>1475.8000000000002</v>
      </c>
      <c r="F23">
        <f t="shared" si="5"/>
        <v>0.60558839019221089</v>
      </c>
      <c r="G23">
        <f t="shared" si="6"/>
        <v>1.7903218805931698E-2</v>
      </c>
      <c r="H23">
        <f t="shared" si="7"/>
        <v>0.73597243415846469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RPM_Summary_Averaged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Magesvar V R</cp:lastModifiedBy>
  <dcterms:created xsi:type="dcterms:W3CDTF">2026-05-02T13:37:57Z</dcterms:created>
  <dcterms:modified xsi:type="dcterms:W3CDTF">2026-05-05T08:20:33Z</dcterms:modified>
</cp:coreProperties>
</file>